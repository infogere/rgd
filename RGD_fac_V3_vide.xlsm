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-Michel\Documents\Facturation\"/>
    </mc:Choice>
  </mc:AlternateContent>
  <xr:revisionPtr revIDLastSave="0" documentId="13_ncr:1_{05B6383B-F0D3-4BEC-AA65-B9C428C78B01}" xr6:coauthVersionLast="41" xr6:coauthVersionMax="41" xr10:uidLastSave="{00000000-0000-0000-0000-000000000000}"/>
  <bookViews>
    <workbookView xWindow="-120" yWindow="-120" windowWidth="19440" windowHeight="15000" tabRatio="657" activeTab="2" xr2:uid="{00000000-000D-0000-FFFF-FFFF00000000}"/>
  </bookViews>
  <sheets>
    <sheet name="201805001test" sheetId="87" r:id="rId1"/>
    <sheet name="CA" sheetId="22" r:id="rId2"/>
    <sheet name="Doc" sheetId="88" r:id="rId3"/>
    <sheet name="Modele" sheetId="40" r:id="rId4"/>
  </sheets>
  <calcPr calcId="191029"/>
  <customWorkbookViews>
    <customWorkbookView name="PC - Affichage personnalisé" guid="{E91F4C66-A842-4C90-ACE8-DA86A2BB1E88}" mergeInterval="0" personalView="1" maximized="1" xWindow="1" yWindow="1" windowWidth="1024" windowHeight="577" tabRatio="657" activeSheetId="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6" i="87" l="1"/>
  <c r="H40" i="87"/>
  <c r="H38" i="87"/>
  <c r="H36" i="87"/>
  <c r="H34" i="87"/>
  <c r="H32" i="87"/>
  <c r="H31" i="87"/>
  <c r="H30" i="87"/>
  <c r="H28" i="87"/>
  <c r="H30" i="40"/>
  <c r="H31" i="40"/>
  <c r="H48" i="87" l="1"/>
  <c r="H52" i="87" s="1"/>
  <c r="E6" i="22" s="1"/>
  <c r="H40" i="40" l="1"/>
  <c r="H38" i="40"/>
  <c r="H36" i="40"/>
  <c r="H34" i="40"/>
  <c r="H32" i="40"/>
  <c r="J10" i="22" l="1"/>
  <c r="G10" i="22"/>
  <c r="D10" i="22"/>
  <c r="A10" i="22"/>
  <c r="A13" i="22" l="1"/>
  <c r="H46" i="40"/>
  <c r="H28" i="40"/>
  <c r="H48" i="40" l="1"/>
  <c r="H52" i="40" s="1"/>
</calcChain>
</file>

<file path=xl/sharedStrings.xml><?xml version="1.0" encoding="utf-8"?>
<sst xmlns="http://schemas.openxmlformats.org/spreadsheetml/2006/main" count="84" uniqueCount="63">
  <si>
    <t>F A C T U R E</t>
  </si>
  <si>
    <t>Référence</t>
  </si>
  <si>
    <t>D é s i g n a t i o n</t>
  </si>
  <si>
    <t>Quantité</t>
  </si>
  <si>
    <t>Prix Unitaire</t>
  </si>
  <si>
    <t>Montant Ht</t>
  </si>
  <si>
    <t xml:space="preserve"> </t>
  </si>
  <si>
    <t>Délais de règlement :</t>
  </si>
  <si>
    <t>Par chèque à la livraison</t>
  </si>
  <si>
    <r>
      <t>Réserve de propriété</t>
    </r>
    <r>
      <rPr>
        <sz val="7"/>
        <rFont val="Arial"/>
        <family val="2"/>
      </rPr>
      <t xml:space="preserve"> : La présente vente est réalisée avec réserve de propriété du vendeur jusqu'au paiement complet du prix par l'acheteur,  </t>
    </r>
  </si>
  <si>
    <t>conformément aux termes de la loi n° 80.335 du 12 mai 1980.</t>
  </si>
  <si>
    <t>L'acheteur assumera toutefois les risques que pourraient causer ou subir le matériel objet de la vente.</t>
  </si>
  <si>
    <t>€</t>
  </si>
  <si>
    <t>Montant Total</t>
  </si>
  <si>
    <t>Montant à payer</t>
  </si>
  <si>
    <t>Tva non applicable article 293B du CGI</t>
  </si>
  <si>
    <t>RIB</t>
  </si>
  <si>
    <t>BASTIA</t>
  </si>
  <si>
    <t>Maintenance logicielle</t>
  </si>
  <si>
    <t>en date du :31/12/2018</t>
  </si>
  <si>
    <t>Mars</t>
  </si>
  <si>
    <t>Mai</t>
  </si>
  <si>
    <t>Juin</t>
  </si>
  <si>
    <t>Août</t>
  </si>
  <si>
    <t>Févr</t>
  </si>
  <si>
    <t>Avr</t>
  </si>
  <si>
    <t>Juil</t>
  </si>
  <si>
    <t>Sept</t>
  </si>
  <si>
    <t>Oct</t>
  </si>
  <si>
    <t>Nov</t>
  </si>
  <si>
    <t>Déc</t>
  </si>
  <si>
    <t>Janv</t>
  </si>
  <si>
    <t>Chiffre d'affaires</t>
  </si>
  <si>
    <t>Mensuel</t>
  </si>
  <si>
    <t>Trimestriel</t>
  </si>
  <si>
    <t>Annuel</t>
  </si>
  <si>
    <t>S.a.r.l.</t>
  </si>
  <si>
    <t>Mr</t>
  </si>
  <si>
    <t>DUPONT de NEMOURS</t>
  </si>
  <si>
    <t>Rce Le Cerisier</t>
  </si>
  <si>
    <t>Rp du Chataignier</t>
  </si>
  <si>
    <t>06000</t>
  </si>
  <si>
    <t>ANTIBES</t>
  </si>
  <si>
    <t>Maintenance materielle</t>
  </si>
  <si>
    <t>Bulletins de paye</t>
  </si>
  <si>
    <t>Situation</t>
  </si>
  <si>
    <t>Cession de parts</t>
  </si>
  <si>
    <t>Prestation de services :</t>
  </si>
  <si>
    <t>20200</t>
  </si>
  <si>
    <t>14/05/2018</t>
  </si>
  <si>
    <t>test</t>
  </si>
  <si>
    <t>Rce La Corniche</t>
  </si>
  <si>
    <t>Quartier des Belles Autos</t>
  </si>
  <si>
    <t>Saisie comptable</t>
  </si>
  <si>
    <t>Envoi électronique</t>
  </si>
  <si>
    <t>Génération de facture simple, à partir d'un modèle fourni.</t>
  </si>
  <si>
    <t>Dernières améliorations :</t>
  </si>
  <si>
    <t>14/05/18 - Saisie de 6 lignes de facturation dans le formulaire</t>
  </si>
  <si>
    <t xml:space="preserve">                  - Import / Export avec le modèle</t>
  </si>
  <si>
    <t>03/05/18 - Moulinette de régénération des formules de calcul CA mensuel.</t>
  </si>
  <si>
    <t>30/04/18 - Cumul CA mensuel des factures générées avec modif des formules.</t>
  </si>
  <si>
    <t>04/04/19 - Feuille réservée à la documentation</t>
  </si>
  <si>
    <t>RGD Facture - Version 3a du 04/04/19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</si>
</sst>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m\ yyyy"/>
    <numFmt numFmtId="165" formatCode="_-* #,##0.00\ [$€-1]_-;\-* #,##0.00\ [$€-1]_-;_-* &quot;-&quot;??\ [$€-1]_-"/>
  </numFmts>
  <fonts count="29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0"/>
      <name val="MS Sans Serif"/>
    </font>
    <font>
      <b/>
      <sz val="12"/>
      <name val="Times New Roman"/>
      <family val="1"/>
    </font>
    <font>
      <b/>
      <sz val="10"/>
      <name val="MS Sans Serif"/>
    </font>
    <font>
      <b/>
      <u/>
      <sz val="7"/>
      <name val="Arial"/>
      <family val="2"/>
    </font>
    <font>
      <sz val="7"/>
      <name val="Arial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0"/>
      <name val="MS Sans Serif"/>
      <family val="2"/>
    </font>
    <font>
      <b/>
      <i/>
      <sz val="14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10"/>
      <name val="Arial Black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name val="Calibri"/>
      <family val="2"/>
    </font>
    <font>
      <sz val="12"/>
      <name val="Calibri"/>
      <family val="2"/>
    </font>
    <font>
      <sz val="28"/>
      <name val="Staccato555 BT"/>
    </font>
    <font>
      <sz val="24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2" fillId="0" borderId="0" xfId="0" applyFont="1" applyAlignment="1">
      <alignment horizontal="centerContinuous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/>
    <xf numFmtId="14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horizontal="centerContinuous"/>
    </xf>
    <xf numFmtId="0" fontId="3" fillId="0" borderId="0" xfId="0" applyFont="1" applyAlignment="1">
      <alignment horizontal="left"/>
    </xf>
    <xf numFmtId="0" fontId="2" fillId="2" borderId="0" xfId="0" applyFont="1" applyFill="1" applyAlignment="1">
      <alignment horizontal="centerContinuous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2" xfId="0" applyNumberFormat="1" applyFont="1" applyBorder="1"/>
    <xf numFmtId="0" fontId="4" fillId="0" borderId="5" xfId="0" applyFont="1" applyBorder="1"/>
    <xf numFmtId="0" fontId="2" fillId="0" borderId="6" xfId="0" applyFont="1" applyBorder="1"/>
    <xf numFmtId="0" fontId="2" fillId="0" borderId="5" xfId="0" applyFont="1" applyBorder="1" applyAlignment="1">
      <alignment horizontal="center"/>
    </xf>
    <xf numFmtId="4" fontId="2" fillId="0" borderId="3" xfId="0" applyNumberFormat="1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4" fontId="3" fillId="0" borderId="11" xfId="0" applyNumberFormat="1" applyFont="1" applyBorder="1"/>
    <xf numFmtId="4" fontId="2" fillId="0" borderId="11" xfId="0" applyNumberFormat="1" applyFont="1" applyBorder="1"/>
    <xf numFmtId="0" fontId="11" fillId="0" borderId="0" xfId="0" applyFont="1"/>
    <xf numFmtId="164" fontId="3" fillId="0" borderId="0" xfId="0" applyNumberFormat="1" applyFont="1" applyAlignment="1">
      <alignment horizontal="left"/>
    </xf>
    <xf numFmtId="0" fontId="12" fillId="2" borderId="0" xfId="0" applyFont="1" applyFill="1" applyAlignment="1">
      <alignment horizontal="centerContinuous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Continuous"/>
    </xf>
    <xf numFmtId="0" fontId="3" fillId="2" borderId="9" xfId="0" applyFont="1" applyFill="1" applyBorder="1" applyAlignment="1">
      <alignment horizontal="centerContinuous"/>
    </xf>
    <xf numFmtId="0" fontId="2" fillId="2" borderId="9" xfId="0" applyFont="1" applyFill="1" applyBorder="1" applyAlignment="1">
      <alignment horizontal="centerContinuous"/>
    </xf>
    <xf numFmtId="0" fontId="3" fillId="2" borderId="1" xfId="0" applyFont="1" applyFill="1" applyBorder="1" applyAlignment="1">
      <alignment horizontal="center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3" xfId="0" applyFont="1" applyFill="1" applyBorder="1"/>
    <xf numFmtId="0" fontId="3" fillId="3" borderId="0" xfId="0" applyFont="1" applyFill="1"/>
    <xf numFmtId="0" fontId="2" fillId="3" borderId="0" xfId="0" applyFont="1" applyFill="1"/>
    <xf numFmtId="0" fontId="3" fillId="0" borderId="4" xfId="0" applyFont="1" applyBorder="1"/>
    <xf numFmtId="0" fontId="2" fillId="0" borderId="4" xfId="0" applyFont="1" applyBorder="1"/>
    <xf numFmtId="0" fontId="5" fillId="0" borderId="4" xfId="0" applyFont="1" applyBorder="1"/>
    <xf numFmtId="0" fontId="13" fillId="0" borderId="0" xfId="0" applyFont="1"/>
    <xf numFmtId="0" fontId="5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" fillId="0" borderId="0" xfId="0" applyFont="1"/>
    <xf numFmtId="4" fontId="14" fillId="3" borderId="11" xfId="0" applyNumberFormat="1" applyFont="1" applyFill="1" applyBorder="1"/>
    <xf numFmtId="165" fontId="15" fillId="0" borderId="0" xfId="1" applyFont="1" applyAlignment="1">
      <alignment horizontal="right"/>
    </xf>
    <xf numFmtId="4" fontId="15" fillId="0" borderId="11" xfId="0" applyNumberFormat="1" applyFont="1" applyBorder="1"/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9" fillId="0" borderId="0" xfId="0" applyFont="1"/>
    <xf numFmtId="0" fontId="20" fillId="0" borderId="0" xfId="0" applyFont="1"/>
    <xf numFmtId="0" fontId="21" fillId="0" borderId="0" xfId="0" applyFont="1" applyAlignment="1">
      <alignment horizontal="center" readingOrder="1"/>
    </xf>
    <xf numFmtId="0" fontId="17" fillId="7" borderId="0" xfId="0" applyFont="1" applyFill="1"/>
    <xf numFmtId="0" fontId="17" fillId="5" borderId="0" xfId="0" applyFont="1" applyFill="1"/>
    <xf numFmtId="4" fontId="17" fillId="5" borderId="0" xfId="0" applyNumberFormat="1" applyFont="1" applyFill="1"/>
    <xf numFmtId="4" fontId="17" fillId="7" borderId="0" xfId="0" applyNumberFormat="1" applyFont="1" applyFill="1"/>
    <xf numFmtId="0" fontId="17" fillId="8" borderId="0" xfId="0" applyFont="1" applyFill="1"/>
    <xf numFmtId="4" fontId="17" fillId="8" borderId="0" xfId="0" applyNumberFormat="1" applyFont="1" applyFill="1"/>
    <xf numFmtId="0" fontId="17" fillId="6" borderId="0" xfId="0" applyFont="1" applyFill="1"/>
    <xf numFmtId="4" fontId="17" fillId="6" borderId="0" xfId="0" applyNumberFormat="1" applyFont="1" applyFill="1"/>
    <xf numFmtId="4" fontId="17" fillId="8" borderId="0" xfId="0" quotePrefix="1" applyNumberFormat="1" applyFont="1" applyFill="1"/>
    <xf numFmtId="49" fontId="18" fillId="0" borderId="0" xfId="0" applyNumberFormat="1" applyFont="1" applyAlignment="1">
      <alignment horizontal="left"/>
    </xf>
    <xf numFmtId="0" fontId="27" fillId="0" borderId="0" xfId="0" applyFont="1"/>
    <xf numFmtId="0" fontId="10" fillId="0" borderId="0" xfId="0" applyFont="1"/>
    <xf numFmtId="0" fontId="21" fillId="0" borderId="0" xfId="0" applyFont="1" applyAlignment="1">
      <alignment horizontal="center" readingOrder="1"/>
    </xf>
    <xf numFmtId="0" fontId="3" fillId="2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16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 readingOrder="1"/>
    </xf>
    <xf numFmtId="0" fontId="25" fillId="0" borderId="0" xfId="2" applyAlignment="1" applyProtection="1">
      <alignment horizontal="center" readingOrder="1"/>
    </xf>
    <xf numFmtId="2" fontId="24" fillId="6" borderId="0" xfId="0" applyNumberFormat="1" applyFont="1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7" borderId="0" xfId="0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6" fillId="7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8" fillId="0" borderId="0" xfId="0" applyFont="1"/>
  </cellXfs>
  <cellStyles count="3">
    <cellStyle name="Euro" xfId="1" xr:uid="{00000000-0005-0000-0000-000000000000}"/>
    <cellStyle name="Lien hypertexte" xfId="2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4105275"/>
          <a:ext cx="5991225" cy="247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</xdr:sp>
    <xdr:clientData/>
  </xdr:twoCellAnchor>
  <xdr:twoCellAnchor>
    <xdr:from>
      <xdr:col>4</xdr:col>
      <xdr:colOff>0</xdr:colOff>
      <xdr:row>11</xdr:row>
      <xdr:rowOff>0</xdr:rowOff>
    </xdr:from>
    <xdr:to>
      <xdr:col>7</xdr:col>
      <xdr:colOff>781050</xdr:colOff>
      <xdr:row>18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3048000" y="2209800"/>
          <a:ext cx="2943225" cy="1247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85726</xdr:colOff>
      <xdr:row>0</xdr:row>
      <xdr:rowOff>76200</xdr:rowOff>
    </xdr:from>
    <xdr:to>
      <xdr:col>18</xdr:col>
      <xdr:colOff>9526</xdr:colOff>
      <xdr:row>25</xdr:row>
      <xdr:rowOff>152399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058026" y="76200"/>
          <a:ext cx="3409950" cy="43433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RGD Facture - Version 3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du 14/05/18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Génération de facture simple, à partir d'un modèle fourni.</a:t>
          </a:r>
        </a:p>
        <a:p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Dernières améliorations :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14/05/18 - Saisie de 6 lignes de facturation dans le formulaire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- Import / Export avec le modèle</a:t>
          </a:r>
          <a:endParaRPr lang="fr-FR" sz="900">
            <a:effectLst/>
          </a:endParaRPr>
        </a:p>
        <a:p>
          <a:pPr eaLnBrk="1" fontAlgn="auto" latinLnBrk="0" hangingPunct="1"/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03/05/18 - Moulinette de régénération des formules de calcul CA mensuel.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30/04/18 - Cumul CA mensuel des factures générées avec modif des formules.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Améliorations prévues</a:t>
          </a:r>
          <a:endParaRPr lang="fr-FR" sz="900">
            <a:effectLst/>
          </a:endParaRPr>
        </a:p>
        <a:p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*** fermeture annuelle ***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3319" name="CommandButton2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4152900"/>
          <a:ext cx="6229350" cy="247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</xdr:sp>
    <xdr:clientData/>
  </xdr:twoCellAnchor>
  <xdr:twoCellAnchor>
    <xdr:from>
      <xdr:col>4</xdr:col>
      <xdr:colOff>0</xdr:colOff>
      <xdr:row>11</xdr:row>
      <xdr:rowOff>0</xdr:rowOff>
    </xdr:from>
    <xdr:to>
      <xdr:col>7</xdr:col>
      <xdr:colOff>781050</xdr:colOff>
      <xdr:row>18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3048000" y="2257425"/>
          <a:ext cx="2981325" cy="1247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910E6-083E-4EE8-8048-3EC202CB2DC4}">
  <sheetPr codeName="Feuil15"/>
  <dimension ref="A1:H58"/>
  <sheetViews>
    <sheetView topLeftCell="A13" workbookViewId="0">
      <selection sqref="A1:H7"/>
    </sheetView>
  </sheetViews>
  <sheetFormatPr baseColWidth="10" defaultRowHeight="12.75"/>
  <cols>
    <col min="7" max="7" width="9.85546875" customWidth="1"/>
  </cols>
  <sheetData>
    <row r="1" spans="1:8" ht="34.5">
      <c r="A1" s="80"/>
      <c r="B1" s="80"/>
      <c r="C1" s="80"/>
      <c r="D1" s="80"/>
      <c r="E1" s="80"/>
      <c r="F1" s="80"/>
      <c r="G1" s="80"/>
      <c r="H1" s="80"/>
    </row>
    <row r="2" spans="1:8" ht="15.75">
      <c r="A2" s="81"/>
      <c r="B2" s="81"/>
      <c r="C2" s="81"/>
      <c r="D2" s="81"/>
      <c r="E2" s="81"/>
      <c r="F2" s="81"/>
      <c r="G2" s="81"/>
      <c r="H2" s="81"/>
    </row>
    <row r="3" spans="1:8" ht="15.75">
      <c r="A3" s="82"/>
      <c r="B3" s="82"/>
      <c r="C3" s="82"/>
      <c r="D3" s="82"/>
      <c r="E3" s="82"/>
      <c r="F3" s="82"/>
      <c r="G3" s="82"/>
      <c r="H3" s="82"/>
    </row>
    <row r="4" spans="1:8" ht="15.75">
      <c r="A4" s="82"/>
      <c r="B4" s="82"/>
      <c r="C4" s="82"/>
      <c r="D4" s="82"/>
      <c r="E4" s="82"/>
      <c r="F4" s="82"/>
      <c r="G4" s="82"/>
      <c r="H4" s="82"/>
    </row>
    <row r="5" spans="1:8" ht="15.75">
      <c r="A5" s="82"/>
      <c r="B5" s="82"/>
      <c r="C5" s="82"/>
      <c r="D5" s="82"/>
      <c r="E5" s="82"/>
      <c r="F5" s="82"/>
      <c r="G5" s="82"/>
      <c r="H5" s="82"/>
    </row>
    <row r="6" spans="1:8">
      <c r="A6" s="83"/>
      <c r="B6" s="83"/>
      <c r="C6" s="83"/>
      <c r="D6" s="83"/>
      <c r="E6" s="83"/>
      <c r="F6" s="83"/>
      <c r="G6" s="83"/>
      <c r="H6" s="83"/>
    </row>
    <row r="7" spans="1:8">
      <c r="A7" s="75"/>
      <c r="B7" s="75"/>
      <c r="C7" s="75"/>
      <c r="D7" s="75"/>
      <c r="E7" s="75"/>
      <c r="F7" s="75"/>
      <c r="G7" s="75"/>
      <c r="H7" s="75"/>
    </row>
    <row r="8" spans="1:8">
      <c r="A8" s="62"/>
      <c r="B8" s="62"/>
      <c r="C8" s="62"/>
      <c r="D8" s="62"/>
      <c r="E8" s="62"/>
      <c r="F8" s="62"/>
      <c r="G8" s="62"/>
      <c r="H8" s="62"/>
    </row>
    <row r="9" spans="1:8">
      <c r="A9" s="11"/>
      <c r="B9" s="11"/>
      <c r="C9" s="11"/>
      <c r="D9" s="11"/>
      <c r="E9" s="11"/>
      <c r="F9" s="4"/>
      <c r="G9" s="51"/>
      <c r="H9" s="32"/>
    </row>
    <row r="10" spans="1:8">
      <c r="A10" s="11"/>
      <c r="B10" s="11"/>
      <c r="C10" s="11"/>
      <c r="D10" s="11"/>
      <c r="E10" s="11"/>
      <c r="F10" s="4"/>
      <c r="G10" s="51"/>
      <c r="H10" s="32"/>
    </row>
    <row r="11" spans="1:8">
      <c r="A11" s="7"/>
      <c r="B11" s="9"/>
      <c r="C11" s="9"/>
      <c r="D11" s="7"/>
      <c r="E11" s="2"/>
      <c r="F11" s="2"/>
      <c r="G11" s="2"/>
      <c r="H11" s="2"/>
    </row>
    <row r="12" spans="1:8">
      <c r="A12" s="7"/>
      <c r="B12" s="7"/>
      <c r="C12" s="7"/>
      <c r="D12" s="7"/>
      <c r="E12" s="3"/>
      <c r="F12" s="4"/>
      <c r="G12" s="3"/>
      <c r="H12" s="2"/>
    </row>
    <row r="13" spans="1:8" ht="15">
      <c r="A13" s="51"/>
      <c r="B13" s="51"/>
      <c r="C13" s="51"/>
      <c r="D13" s="51"/>
      <c r="E13" s="10" t="s">
        <v>36</v>
      </c>
      <c r="F13" s="57" t="s">
        <v>50</v>
      </c>
      <c r="G13" s="58"/>
      <c r="H13" s="2"/>
    </row>
    <row r="14" spans="1:8" ht="15">
      <c r="A14" s="51"/>
      <c r="B14" s="51"/>
      <c r="C14" s="51"/>
      <c r="D14" s="51"/>
      <c r="E14" s="10"/>
      <c r="F14" s="57" t="s">
        <v>51</v>
      </c>
      <c r="G14" s="58"/>
      <c r="H14" s="2"/>
    </row>
    <row r="15" spans="1:8" ht="15">
      <c r="A15" s="51"/>
      <c r="B15" s="51"/>
      <c r="C15" s="51"/>
      <c r="D15" s="51"/>
      <c r="E15" s="10"/>
      <c r="F15" s="57" t="s">
        <v>52</v>
      </c>
      <c r="G15" s="58"/>
      <c r="H15" s="2"/>
    </row>
    <row r="16" spans="1:8" ht="15">
      <c r="A16" s="51"/>
      <c r="B16" s="51"/>
      <c r="C16" s="51"/>
      <c r="D16" s="51"/>
      <c r="E16" s="4"/>
      <c r="F16" s="72" t="s">
        <v>48</v>
      </c>
      <c r="G16" s="58" t="s">
        <v>17</v>
      </c>
      <c r="H16" s="2"/>
    </row>
    <row r="17" spans="1:8">
      <c r="A17" s="51"/>
      <c r="B17" s="51"/>
      <c r="C17" s="51"/>
      <c r="D17" s="51"/>
      <c r="E17" s="5"/>
      <c r="F17" s="10"/>
      <c r="G17" s="2"/>
      <c r="H17" s="2"/>
    </row>
    <row r="18" spans="1:8">
      <c r="A18" s="51"/>
      <c r="B18" s="51"/>
      <c r="C18" s="51"/>
      <c r="D18" s="51"/>
      <c r="E18" s="3"/>
      <c r="F18" s="4"/>
      <c r="G18" s="3"/>
      <c r="H18" s="2"/>
    </row>
    <row r="19" spans="1:8">
      <c r="A19" s="51"/>
      <c r="B19" s="51"/>
      <c r="C19" s="51"/>
      <c r="D19" s="51"/>
      <c r="E19" s="2"/>
      <c r="F19" s="2"/>
      <c r="G19" s="2"/>
      <c r="H19" s="2"/>
    </row>
    <row r="20" spans="1:8">
      <c r="A20" s="51"/>
      <c r="B20" s="51"/>
      <c r="C20" s="51"/>
      <c r="D20" s="51"/>
      <c r="E20" s="2"/>
      <c r="F20" s="12"/>
      <c r="G20" s="6"/>
      <c r="H20" s="2"/>
    </row>
    <row r="21" spans="1:8">
      <c r="A21" s="51"/>
      <c r="B21" s="51"/>
      <c r="C21" s="51"/>
      <c r="D21" s="51"/>
      <c r="E21" s="2"/>
      <c r="F21" s="12"/>
      <c r="G21" s="3"/>
      <c r="H21" s="2"/>
    </row>
    <row r="22" spans="1:8">
      <c r="A22" s="51"/>
      <c r="B22" s="51"/>
      <c r="C22" s="51"/>
      <c r="D22" s="51"/>
      <c r="E22" s="51"/>
      <c r="F22" s="51"/>
      <c r="G22" s="51"/>
      <c r="H22" s="51"/>
    </row>
    <row r="23" spans="1:8" ht="19.5">
      <c r="A23" s="33" t="s">
        <v>0</v>
      </c>
      <c r="B23" s="33"/>
      <c r="C23" s="13"/>
      <c r="D23" s="13"/>
      <c r="E23" s="13"/>
      <c r="F23" s="13"/>
      <c r="G23" s="13"/>
      <c r="H23" s="13"/>
    </row>
    <row r="24" spans="1:8">
      <c r="A24" s="55" t="s">
        <v>49</v>
      </c>
      <c r="B24" s="2"/>
      <c r="C24" s="2"/>
      <c r="D24" s="11">
        <v>201805001</v>
      </c>
      <c r="E24" s="1"/>
      <c r="F24" s="2"/>
      <c r="G24" s="2"/>
      <c r="H24" s="2"/>
    </row>
    <row r="25" spans="1:8">
      <c r="A25" s="2"/>
      <c r="B25" s="2"/>
      <c r="C25" s="2"/>
      <c r="D25" s="2"/>
      <c r="E25" s="2"/>
      <c r="F25" s="2"/>
      <c r="G25" s="2"/>
      <c r="H25" s="2"/>
    </row>
    <row r="26" spans="1:8">
      <c r="A26" s="34" t="s">
        <v>1</v>
      </c>
      <c r="B26" s="35" t="s">
        <v>2</v>
      </c>
      <c r="C26" s="36"/>
      <c r="D26" s="37"/>
      <c r="E26" s="37"/>
      <c r="F26" s="38" t="s">
        <v>3</v>
      </c>
      <c r="G26" s="76" t="s">
        <v>4</v>
      </c>
      <c r="H26" s="38" t="s">
        <v>5</v>
      </c>
    </row>
    <row r="27" spans="1:8">
      <c r="A27" s="39"/>
      <c r="B27" s="39"/>
      <c r="C27" s="40"/>
      <c r="D27" s="40"/>
      <c r="E27" s="40"/>
      <c r="F27" s="39"/>
      <c r="G27" s="77"/>
      <c r="H27" s="41"/>
    </row>
    <row r="28" spans="1:8">
      <c r="A28" s="14"/>
      <c r="B28" s="2"/>
      <c r="C28" s="2"/>
      <c r="D28" s="2"/>
      <c r="E28" s="2"/>
      <c r="F28" s="17" t="s">
        <v>6</v>
      </c>
      <c r="G28" s="19" t="s">
        <v>6</v>
      </c>
      <c r="H28" s="19" t="str">
        <f>IF(F28=" "," ",F28*G28)</f>
        <v xml:space="preserve"> </v>
      </c>
    </row>
    <row r="29" spans="1:8">
      <c r="A29" s="15"/>
      <c r="B29" s="31"/>
      <c r="C29" s="7"/>
      <c r="D29" s="2"/>
      <c r="E29" s="2"/>
      <c r="F29" s="17"/>
      <c r="G29" s="19"/>
      <c r="H29" s="19"/>
    </row>
    <row r="30" spans="1:8">
      <c r="A30" s="15"/>
      <c r="B30" s="73" t="s">
        <v>53</v>
      </c>
      <c r="C30" s="7"/>
      <c r="D30" s="2"/>
      <c r="E30" s="2"/>
      <c r="F30" s="17">
        <v>1500</v>
      </c>
      <c r="G30" s="19">
        <v>0.45</v>
      </c>
      <c r="H30" s="19">
        <f t="shared" ref="H30:H31" si="0">IF(F30&gt;0,F30*G30," ")</f>
        <v>675</v>
      </c>
    </row>
    <row r="31" spans="1:8">
      <c r="A31" s="15"/>
      <c r="B31" s="59"/>
      <c r="C31" s="7"/>
      <c r="D31" s="2"/>
      <c r="E31" s="2"/>
      <c r="F31" s="17"/>
      <c r="G31" s="19"/>
      <c r="H31" s="19" t="str">
        <f t="shared" si="0"/>
        <v xml:space="preserve"> </v>
      </c>
    </row>
    <row r="32" spans="1:8">
      <c r="A32" s="15"/>
      <c r="B32" s="51" t="s">
        <v>54</v>
      </c>
      <c r="C32" s="7"/>
      <c r="D32" s="2"/>
      <c r="E32" s="2"/>
      <c r="F32" s="17">
        <v>1</v>
      </c>
      <c r="G32" s="19">
        <v>15</v>
      </c>
      <c r="H32" s="19">
        <f>IF(F32&gt;0,F32*G32," ")</f>
        <v>15</v>
      </c>
    </row>
    <row r="33" spans="1:8">
      <c r="A33" s="15"/>
      <c r="B33" s="56"/>
      <c r="C33" s="7"/>
      <c r="D33" s="2"/>
      <c r="E33" s="2"/>
      <c r="F33" s="17"/>
      <c r="G33" s="19"/>
      <c r="H33" s="19"/>
    </row>
    <row r="34" spans="1:8">
      <c r="A34" s="15"/>
      <c r="B34" s="74"/>
      <c r="C34" s="7"/>
      <c r="D34" s="2"/>
      <c r="E34" s="2"/>
      <c r="F34" s="17"/>
      <c r="G34" s="19">
        <v>0</v>
      </c>
      <c r="H34" s="19" t="str">
        <f>IF(F34&gt;0,F34*G34," ")</f>
        <v xml:space="preserve"> </v>
      </c>
    </row>
    <row r="35" spans="1:8">
      <c r="A35" s="15"/>
      <c r="B35" s="51"/>
      <c r="C35" s="7"/>
      <c r="D35" s="7"/>
      <c r="E35" s="2"/>
      <c r="F35" s="17"/>
      <c r="G35" s="19"/>
      <c r="H35" s="19"/>
    </row>
    <row r="36" spans="1:8">
      <c r="A36" s="15"/>
      <c r="B36" s="74"/>
      <c r="C36" s="7"/>
      <c r="D36" s="2"/>
      <c r="E36" s="2"/>
      <c r="F36" s="17"/>
      <c r="G36" s="19">
        <v>0</v>
      </c>
      <c r="H36" s="19" t="str">
        <f>IF(F36&gt;0,F36*G36," ")</f>
        <v xml:space="preserve"> </v>
      </c>
    </row>
    <row r="37" spans="1:8">
      <c r="A37" s="15"/>
      <c r="B37" s="51"/>
      <c r="C37" s="7"/>
      <c r="D37" s="7"/>
      <c r="E37" s="2"/>
      <c r="F37" s="17"/>
      <c r="G37" s="19"/>
      <c r="H37" s="19"/>
    </row>
    <row r="38" spans="1:8">
      <c r="A38" s="15"/>
      <c r="B38" s="74"/>
      <c r="C38" s="7"/>
      <c r="D38" s="2"/>
      <c r="E38" s="2"/>
      <c r="F38" s="17"/>
      <c r="G38" s="19">
        <v>0</v>
      </c>
      <c r="H38" s="19" t="str">
        <f>IF(F38&gt;0,F38*G38," ")</f>
        <v xml:space="preserve"> </v>
      </c>
    </row>
    <row r="39" spans="1:8">
      <c r="A39" s="15"/>
      <c r="B39" s="7"/>
      <c r="C39" s="51"/>
      <c r="D39" s="7"/>
      <c r="E39" s="2"/>
      <c r="F39" s="18"/>
      <c r="G39" s="19"/>
      <c r="H39" s="19"/>
    </row>
    <row r="40" spans="1:8">
      <c r="A40" s="15"/>
      <c r="B40" s="74"/>
      <c r="C40" s="7"/>
      <c r="D40" s="2"/>
      <c r="E40" s="2"/>
      <c r="F40" s="17"/>
      <c r="G40" s="19">
        <v>0</v>
      </c>
      <c r="H40" s="19" t="str">
        <f>IF(F40&gt;0,F40*G40," ")</f>
        <v xml:space="preserve"> </v>
      </c>
    </row>
    <row r="41" spans="1:8">
      <c r="A41" s="15"/>
      <c r="B41" s="7"/>
      <c r="C41" s="7"/>
      <c r="D41" s="7"/>
      <c r="E41" s="2"/>
      <c r="F41" s="18"/>
      <c r="G41" s="19"/>
      <c r="H41" s="19"/>
    </row>
    <row r="42" spans="1:8">
      <c r="A42" s="15"/>
      <c r="B42" s="56"/>
      <c r="C42" s="7"/>
      <c r="D42" s="2"/>
      <c r="E42" s="2"/>
      <c r="F42" s="17"/>
      <c r="G42" s="19"/>
      <c r="H42" s="19"/>
    </row>
    <row r="43" spans="1:8">
      <c r="A43" s="15"/>
      <c r="B43" s="51"/>
      <c r="C43" s="2"/>
      <c r="D43" s="2"/>
      <c r="E43" s="2"/>
      <c r="F43" s="17"/>
      <c r="G43" s="19"/>
      <c r="H43" s="19"/>
    </row>
    <row r="44" spans="1:8">
      <c r="A44" s="15"/>
      <c r="B44" s="51"/>
      <c r="C44" s="2"/>
      <c r="D44" s="2"/>
      <c r="E44" s="2"/>
      <c r="F44" s="17"/>
      <c r="G44" s="19"/>
      <c r="H44" s="19"/>
    </row>
    <row r="45" spans="1:8">
      <c r="A45" s="15"/>
      <c r="B45" s="7"/>
      <c r="C45" s="2"/>
      <c r="D45" s="2"/>
      <c r="E45" s="2"/>
      <c r="F45" s="17"/>
      <c r="G45" s="19"/>
      <c r="H45" s="19"/>
    </row>
    <row r="46" spans="1:8">
      <c r="A46" s="16"/>
      <c r="B46" s="20"/>
      <c r="C46" s="21"/>
      <c r="D46" s="21"/>
      <c r="E46" s="21"/>
      <c r="F46" s="22" t="s">
        <v>6</v>
      </c>
      <c r="G46" s="23"/>
      <c r="H46" s="23" t="str">
        <f>IF(F46=" "," ",F46*G46)</f>
        <v xml:space="preserve"> </v>
      </c>
    </row>
    <row r="47" spans="1:8">
      <c r="A47" s="2"/>
      <c r="B47" s="2"/>
      <c r="C47" s="2"/>
      <c r="D47" s="2"/>
      <c r="E47" s="26"/>
      <c r="F47" s="27"/>
      <c r="G47" s="2"/>
      <c r="H47" s="28"/>
    </row>
    <row r="48" spans="1:8">
      <c r="A48" s="42" t="s">
        <v>7</v>
      </c>
      <c r="B48" s="43"/>
      <c r="C48" s="2"/>
      <c r="D48" s="2"/>
      <c r="E48" s="44" t="s">
        <v>13</v>
      </c>
      <c r="F48" s="2"/>
      <c r="G48" s="2"/>
      <c r="H48" s="29">
        <f>SUM(H28:H46)</f>
        <v>690</v>
      </c>
    </row>
    <row r="49" spans="1:8">
      <c r="A49" s="2" t="s">
        <v>8</v>
      </c>
      <c r="B49" s="2"/>
      <c r="C49" s="2"/>
      <c r="D49" s="2"/>
      <c r="E49" s="45"/>
      <c r="F49" s="2"/>
      <c r="G49" s="2"/>
      <c r="H49" s="29"/>
    </row>
    <row r="50" spans="1:8">
      <c r="A50" s="2"/>
      <c r="B50" s="3"/>
      <c r="C50" s="3"/>
      <c r="D50" s="2"/>
      <c r="E50" s="44"/>
      <c r="F50" s="2"/>
      <c r="G50" s="2"/>
      <c r="H50" s="29"/>
    </row>
    <row r="51" spans="1:8">
      <c r="A51" s="78" t="s">
        <v>16</v>
      </c>
      <c r="B51" s="78"/>
      <c r="C51" s="8"/>
      <c r="D51" s="2"/>
      <c r="E51" s="45"/>
      <c r="F51" s="2"/>
      <c r="G51" s="2"/>
      <c r="H51" s="30"/>
    </row>
    <row r="52" spans="1:8" ht="18.75">
      <c r="A52" s="60"/>
      <c r="B52" s="61"/>
      <c r="C52" s="53"/>
      <c r="D52" s="54"/>
      <c r="E52" s="46" t="s">
        <v>14</v>
      </c>
      <c r="F52" s="47"/>
      <c r="G52" s="48" t="s">
        <v>12</v>
      </c>
      <c r="H52" s="52">
        <f>SUM(H48,H50)</f>
        <v>690</v>
      </c>
    </row>
    <row r="53" spans="1:8">
      <c r="A53" s="2"/>
      <c r="B53" s="2"/>
      <c r="C53" s="2"/>
      <c r="D53" s="2"/>
      <c r="E53" s="24"/>
      <c r="F53" s="21"/>
      <c r="G53" s="21"/>
      <c r="H53" s="25"/>
    </row>
    <row r="55" spans="1:8">
      <c r="A55" s="79" t="s">
        <v>15</v>
      </c>
      <c r="B55" s="79"/>
      <c r="C55" s="79"/>
      <c r="D55" s="79"/>
      <c r="E55" s="79"/>
      <c r="F55" s="79"/>
      <c r="G55" s="79"/>
      <c r="H55" s="79"/>
    </row>
    <row r="56" spans="1:8">
      <c r="A56" s="49" t="s">
        <v>9</v>
      </c>
      <c r="B56" s="51"/>
      <c r="C56" s="51"/>
      <c r="D56" s="51"/>
      <c r="E56" s="51"/>
      <c r="F56" s="51"/>
      <c r="G56" s="51"/>
      <c r="H56" s="51"/>
    </row>
    <row r="57" spans="1:8">
      <c r="A57" s="50" t="s">
        <v>10</v>
      </c>
      <c r="B57" s="51"/>
      <c r="C57" s="51"/>
      <c r="D57" s="51"/>
      <c r="E57" s="51"/>
      <c r="F57" s="51"/>
      <c r="G57" s="51"/>
      <c r="H57" s="51"/>
    </row>
    <row r="58" spans="1:8">
      <c r="A58" s="50" t="s">
        <v>11</v>
      </c>
      <c r="B58" s="51"/>
      <c r="C58" s="51"/>
      <c r="D58" s="51"/>
      <c r="E58" s="51"/>
      <c r="F58" s="51"/>
      <c r="G58" s="51"/>
      <c r="H58" s="51"/>
    </row>
  </sheetData>
  <mergeCells count="10">
    <mergeCell ref="A7:H7"/>
    <mergeCell ref="G26:G27"/>
    <mergeCell ref="A51:B51"/>
    <mergeCell ref="A55:H55"/>
    <mergeCell ref="A1:H1"/>
    <mergeCell ref="A2:H2"/>
    <mergeCell ref="A3:H3"/>
    <mergeCell ref="A4:H4"/>
    <mergeCell ref="A5:H5"/>
    <mergeCell ref="A6:H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pageSetUpPr fitToPage="1"/>
  </sheetPr>
  <dimension ref="A1:L16"/>
  <sheetViews>
    <sheetView workbookViewId="0">
      <selection activeCell="A11" sqref="A11:L12"/>
    </sheetView>
  </sheetViews>
  <sheetFormatPr baseColWidth="10" defaultColWidth="8.7109375" defaultRowHeight="12.75"/>
  <sheetData>
    <row r="1" spans="1:12" ht="30">
      <c r="A1" s="86" t="s">
        <v>32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2" spans="1:12">
      <c r="A2" s="92" t="s">
        <v>33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1:12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</row>
    <row r="4" spans="1:12">
      <c r="A4" s="63" t="s">
        <v>31</v>
      </c>
      <c r="B4" s="64" t="s">
        <v>24</v>
      </c>
      <c r="C4" s="69" t="s">
        <v>20</v>
      </c>
      <c r="D4" s="67" t="s">
        <v>25</v>
      </c>
      <c r="E4" s="63" t="s">
        <v>21</v>
      </c>
      <c r="F4" s="64" t="s">
        <v>22</v>
      </c>
      <c r="G4" s="69" t="s">
        <v>26</v>
      </c>
      <c r="H4" s="67" t="s">
        <v>23</v>
      </c>
      <c r="I4" s="63" t="s">
        <v>27</v>
      </c>
      <c r="J4" s="64" t="s">
        <v>28</v>
      </c>
      <c r="K4" s="69" t="s">
        <v>29</v>
      </c>
      <c r="L4" s="67" t="s">
        <v>30</v>
      </c>
    </row>
    <row r="5" spans="1:12">
      <c r="A5" s="63"/>
      <c r="B5" s="64"/>
      <c r="C5" s="69"/>
      <c r="D5" s="67"/>
      <c r="E5" s="63"/>
      <c r="F5" s="64"/>
      <c r="G5" s="69"/>
      <c r="H5" s="67"/>
      <c r="I5" s="63"/>
      <c r="J5" s="64"/>
      <c r="K5" s="69"/>
      <c r="L5" s="67"/>
    </row>
    <row r="6" spans="1:12">
      <c r="A6" s="66"/>
      <c r="B6" s="65"/>
      <c r="C6" s="70"/>
      <c r="D6" s="71"/>
      <c r="E6" s="66">
        <f>'201805001test'!$H$52</f>
        <v>690</v>
      </c>
      <c r="F6" s="65"/>
      <c r="G6" s="70"/>
      <c r="H6" s="68"/>
      <c r="I6" s="66"/>
      <c r="J6" s="65"/>
      <c r="K6" s="70"/>
      <c r="L6" s="68"/>
    </row>
    <row r="7" spans="1:12">
      <c r="A7" s="63"/>
      <c r="B7" s="64"/>
      <c r="C7" s="69"/>
      <c r="D7" s="67"/>
      <c r="E7" s="63"/>
      <c r="F7" s="64"/>
      <c r="G7" s="69"/>
      <c r="H7" s="67"/>
      <c r="I7" s="63"/>
      <c r="J7" s="64"/>
      <c r="K7" s="69"/>
      <c r="L7" s="67"/>
    </row>
    <row r="8" spans="1:12">
      <c r="A8" s="91" t="s">
        <v>34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</row>
    <row r="9" spans="1:12">
      <c r="A9" s="91"/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</row>
    <row r="10" spans="1:12">
      <c r="A10" s="87">
        <f>A6+B6+C6</f>
        <v>0</v>
      </c>
      <c r="B10" s="87"/>
      <c r="C10" s="87"/>
      <c r="D10" s="88">
        <f t="shared" ref="D10" si="0">D6+E6+F6</f>
        <v>690</v>
      </c>
      <c r="E10" s="88"/>
      <c r="F10" s="88"/>
      <c r="G10" s="89">
        <f t="shared" ref="G10" si="1">G6+H6+I6</f>
        <v>0</v>
      </c>
      <c r="H10" s="89"/>
      <c r="I10" s="89"/>
      <c r="J10" s="90">
        <f t="shared" ref="J10" si="2">J6+K6+L6</f>
        <v>0</v>
      </c>
      <c r="K10" s="90"/>
      <c r="L10" s="90"/>
    </row>
    <row r="11" spans="1:12">
      <c r="A11" s="92" t="s">
        <v>35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</row>
    <row r="12" spans="1:12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</row>
    <row r="13" spans="1:12">
      <c r="A13" s="84">
        <f>A10+D10+G10+J10</f>
        <v>690</v>
      </c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</row>
    <row r="14" spans="1:12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</row>
    <row r="15" spans="1:12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</row>
    <row r="16" spans="1:12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</row>
  </sheetData>
  <mergeCells count="9">
    <mergeCell ref="A13:L16"/>
    <mergeCell ref="A1:L1"/>
    <mergeCell ref="A10:C10"/>
    <mergeCell ref="D10:F10"/>
    <mergeCell ref="G10:I10"/>
    <mergeCell ref="J10:L10"/>
    <mergeCell ref="A8:L9"/>
    <mergeCell ref="A2:L3"/>
    <mergeCell ref="A11:L12"/>
  </mergeCells>
  <pageMargins left="0.25" right="0.25" top="0.75" bottom="0.75" header="0.3" footer="0.3"/>
  <pageSetup paperSize="9" scale="96"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ommandButton2">
          <controlPr defaultSize="0" autoLine="0" autoPict="0" r:id="rId5">
            <anchor moveWithCells="1">
              <from>
                <xdr:col>6</xdr:col>
                <xdr:colOff>19050</xdr:colOff>
                <xdr:row>21</xdr:row>
                <xdr:rowOff>9525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3319" r:id="rId4" name="CommandButton2"/>
      </mc:Fallback>
    </mc:AlternateContent>
    <mc:AlternateContent xmlns:mc="http://schemas.openxmlformats.org/markup-compatibility/2006">
      <mc:Choice Requires="x14">
        <control shapeId="13318" r:id="rId6" name="CommandButton1">
          <controlPr defaultSize="0" autoLine="0" r:id="rId7">
            <anchor moveWithCells="1">
              <from>
                <xdr:col>0</xdr:col>
                <xdr:colOff>9525</xdr:colOff>
                <xdr:row>16</xdr:row>
                <xdr:rowOff>9525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3318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C637E-EF61-4F66-BB4D-E4AE3EDD0150}">
  <dimension ref="A1:A12"/>
  <sheetViews>
    <sheetView tabSelected="1" workbookViewId="0"/>
  </sheetViews>
  <sheetFormatPr baseColWidth="10" defaultRowHeight="12.75"/>
  <sheetData>
    <row r="1" spans="1:1" ht="15">
      <c r="A1" s="93" t="s">
        <v>62</v>
      </c>
    </row>
    <row r="2" spans="1:1" ht="15">
      <c r="A2" s="93"/>
    </row>
    <row r="3" spans="1:1" ht="15">
      <c r="A3" s="93" t="s">
        <v>55</v>
      </c>
    </row>
    <row r="4" spans="1:1" ht="15">
      <c r="A4" s="93"/>
    </row>
    <row r="5" spans="1:1" ht="15">
      <c r="A5" s="93" t="s">
        <v>56</v>
      </c>
    </row>
    <row r="6" spans="1:1" ht="15">
      <c r="A6" s="93" t="s">
        <v>61</v>
      </c>
    </row>
    <row r="7" spans="1:1" ht="15">
      <c r="A7" s="93" t="s">
        <v>57</v>
      </c>
    </row>
    <row r="8" spans="1:1" ht="15">
      <c r="A8" s="93" t="s">
        <v>58</v>
      </c>
    </row>
    <row r="9" spans="1:1" ht="15">
      <c r="A9" s="93" t="s">
        <v>59</v>
      </c>
    </row>
    <row r="10" spans="1:1" ht="15">
      <c r="A10" s="93" t="s">
        <v>60</v>
      </c>
    </row>
    <row r="11" spans="1:1" ht="15">
      <c r="A11" s="93"/>
    </row>
    <row r="12" spans="1:1" ht="15">
      <c r="A12" s="9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AB83-F7BB-45D7-B79E-BA918A283384}">
  <sheetPr codeName="Feuil14"/>
  <dimension ref="A1:H58"/>
  <sheetViews>
    <sheetView topLeftCell="A25" workbookViewId="0">
      <selection sqref="A1:H7"/>
    </sheetView>
  </sheetViews>
  <sheetFormatPr baseColWidth="10" defaultRowHeight="12.75"/>
  <cols>
    <col min="7" max="7" width="9.85546875" customWidth="1"/>
  </cols>
  <sheetData>
    <row r="1" spans="1:8" ht="34.5">
      <c r="A1" s="80"/>
      <c r="B1" s="80"/>
      <c r="C1" s="80"/>
      <c r="D1" s="80"/>
      <c r="E1" s="80"/>
      <c r="F1" s="80"/>
      <c r="G1" s="80"/>
      <c r="H1" s="80"/>
    </row>
    <row r="2" spans="1:8" ht="15.75">
      <c r="A2" s="81"/>
      <c r="B2" s="81"/>
      <c r="C2" s="81"/>
      <c r="D2" s="81"/>
      <c r="E2" s="81"/>
      <c r="F2" s="81"/>
      <c r="G2" s="81"/>
      <c r="H2" s="81"/>
    </row>
    <row r="3" spans="1:8" ht="15.75">
      <c r="A3" s="82"/>
      <c r="B3" s="82"/>
      <c r="C3" s="82"/>
      <c r="D3" s="82"/>
      <c r="E3" s="82"/>
      <c r="F3" s="82"/>
      <c r="G3" s="82"/>
      <c r="H3" s="82"/>
    </row>
    <row r="4" spans="1:8" ht="15.75">
      <c r="A4" s="82"/>
      <c r="B4" s="82"/>
      <c r="C4" s="82"/>
      <c r="D4" s="82"/>
      <c r="E4" s="82"/>
      <c r="F4" s="82"/>
      <c r="G4" s="82"/>
      <c r="H4" s="82"/>
    </row>
    <row r="5" spans="1:8" ht="15.75">
      <c r="A5" s="82"/>
      <c r="B5" s="82"/>
      <c r="C5" s="82"/>
      <c r="D5" s="82"/>
      <c r="E5" s="82"/>
      <c r="F5" s="82"/>
      <c r="G5" s="82"/>
      <c r="H5" s="82"/>
    </row>
    <row r="6" spans="1:8">
      <c r="A6" s="83"/>
      <c r="B6" s="83"/>
      <c r="C6" s="83"/>
      <c r="D6" s="83"/>
      <c r="E6" s="83"/>
      <c r="F6" s="83"/>
      <c r="G6" s="83"/>
      <c r="H6" s="83"/>
    </row>
    <row r="7" spans="1:8">
      <c r="A7" s="75"/>
      <c r="B7" s="75"/>
      <c r="C7" s="75"/>
      <c r="D7" s="75"/>
      <c r="E7" s="75"/>
      <c r="F7" s="75"/>
      <c r="G7" s="75"/>
      <c r="H7" s="75"/>
    </row>
    <row r="8" spans="1:8">
      <c r="A8" s="62"/>
      <c r="B8" s="62"/>
      <c r="C8" s="62"/>
      <c r="D8" s="62"/>
      <c r="E8" s="62"/>
      <c r="F8" s="62"/>
      <c r="G8" s="62"/>
      <c r="H8" s="62"/>
    </row>
    <row r="9" spans="1:8">
      <c r="A9" s="11"/>
      <c r="B9" s="11"/>
      <c r="C9" s="11"/>
      <c r="D9" s="11"/>
      <c r="E9" s="11"/>
      <c r="F9" s="4"/>
      <c r="G9" s="51"/>
      <c r="H9" s="32"/>
    </row>
    <row r="10" spans="1:8">
      <c r="A10" s="11"/>
      <c r="B10" s="11"/>
      <c r="C10" s="11"/>
      <c r="D10" s="11"/>
      <c r="E10" s="11"/>
      <c r="F10" s="4"/>
      <c r="G10" s="51"/>
      <c r="H10" s="32"/>
    </row>
    <row r="11" spans="1:8">
      <c r="A11" s="7"/>
      <c r="B11" s="9"/>
      <c r="C11" s="9"/>
      <c r="D11" s="7"/>
      <c r="E11" s="2"/>
      <c r="F11" s="2"/>
      <c r="G11" s="2"/>
      <c r="H11" s="2"/>
    </row>
    <row r="12" spans="1:8">
      <c r="A12" s="7"/>
      <c r="B12" s="7"/>
      <c r="C12" s="7"/>
      <c r="D12" s="7"/>
      <c r="E12" s="3"/>
      <c r="F12" s="4"/>
      <c r="G12" s="3"/>
      <c r="H12" s="2"/>
    </row>
    <row r="13" spans="1:8" ht="15">
      <c r="A13" s="51"/>
      <c r="B13" s="51"/>
      <c r="C13" s="51"/>
      <c r="D13" s="51"/>
      <c r="E13" s="10" t="s">
        <v>37</v>
      </c>
      <c r="F13" s="57" t="s">
        <v>38</v>
      </c>
      <c r="G13" s="58"/>
      <c r="H13" s="2"/>
    </row>
    <row r="14" spans="1:8" ht="15">
      <c r="A14" s="51"/>
      <c r="B14" s="51"/>
      <c r="C14" s="51"/>
      <c r="D14" s="51"/>
      <c r="E14" s="10"/>
      <c r="F14" s="57" t="s">
        <v>39</v>
      </c>
      <c r="G14" s="58"/>
      <c r="H14" s="2"/>
    </row>
    <row r="15" spans="1:8" ht="15">
      <c r="A15" s="51"/>
      <c r="B15" s="51"/>
      <c r="C15" s="51"/>
      <c r="D15" s="51"/>
      <c r="E15" s="10"/>
      <c r="F15" s="57" t="s">
        <v>40</v>
      </c>
      <c r="G15" s="58"/>
      <c r="H15" s="2"/>
    </row>
    <row r="16" spans="1:8" ht="15">
      <c r="A16" s="51"/>
      <c r="B16" s="51"/>
      <c r="C16" s="51"/>
      <c r="D16" s="51"/>
      <c r="E16" s="4"/>
      <c r="F16" s="72" t="s">
        <v>41</v>
      </c>
      <c r="G16" s="58" t="s">
        <v>42</v>
      </c>
      <c r="H16" s="2"/>
    </row>
    <row r="17" spans="1:8">
      <c r="A17" s="51"/>
      <c r="B17" s="51"/>
      <c r="C17" s="51"/>
      <c r="D17" s="51"/>
      <c r="E17" s="5"/>
      <c r="F17" s="10"/>
      <c r="G17" s="2"/>
      <c r="H17" s="2"/>
    </row>
    <row r="18" spans="1:8">
      <c r="A18" s="51"/>
      <c r="B18" s="51"/>
      <c r="C18" s="51"/>
      <c r="D18" s="51"/>
      <c r="E18" s="3"/>
      <c r="F18" s="4"/>
      <c r="G18" s="3"/>
      <c r="H18" s="2"/>
    </row>
    <row r="19" spans="1:8">
      <c r="A19" s="51"/>
      <c r="B19" s="51"/>
      <c r="C19" s="51"/>
      <c r="D19" s="51"/>
      <c r="E19" s="2"/>
      <c r="F19" s="2"/>
      <c r="G19" s="2"/>
      <c r="H19" s="2"/>
    </row>
    <row r="20" spans="1:8">
      <c r="A20" s="51"/>
      <c r="B20" s="51"/>
      <c r="C20" s="51"/>
      <c r="D20" s="51"/>
      <c r="E20" s="2"/>
      <c r="F20" s="12"/>
      <c r="G20" s="6"/>
      <c r="H20" s="2"/>
    </row>
    <row r="21" spans="1:8">
      <c r="A21" s="51"/>
      <c r="B21" s="51"/>
      <c r="C21" s="51"/>
      <c r="D21" s="51"/>
      <c r="E21" s="2"/>
      <c r="F21" s="12"/>
      <c r="G21" s="3"/>
      <c r="H21" s="2"/>
    </row>
    <row r="22" spans="1:8">
      <c r="A22" s="51"/>
      <c r="B22" s="51"/>
      <c r="C22" s="51"/>
      <c r="D22" s="51"/>
      <c r="E22" s="51"/>
      <c r="F22" s="51"/>
      <c r="G22" s="51"/>
      <c r="H22" s="51"/>
    </row>
    <row r="23" spans="1:8" ht="19.5">
      <c r="A23" s="33" t="s">
        <v>0</v>
      </c>
      <c r="B23" s="33"/>
      <c r="C23" s="13"/>
      <c r="D23" s="13"/>
      <c r="E23" s="13"/>
      <c r="F23" s="13"/>
      <c r="G23" s="13"/>
      <c r="H23" s="13"/>
    </row>
    <row r="24" spans="1:8">
      <c r="A24" s="55" t="s">
        <v>19</v>
      </c>
      <c r="B24" s="2"/>
      <c r="C24" s="2"/>
      <c r="D24" s="11">
        <v>201812001</v>
      </c>
      <c r="E24" s="1"/>
      <c r="F24" s="2"/>
      <c r="G24" s="2"/>
      <c r="H24" s="2"/>
    </row>
    <row r="25" spans="1:8">
      <c r="A25" s="2"/>
      <c r="B25" s="2"/>
      <c r="C25" s="2"/>
      <c r="D25" s="2"/>
      <c r="E25" s="2"/>
      <c r="F25" s="2"/>
      <c r="G25" s="2"/>
      <c r="H25" s="2"/>
    </row>
    <row r="26" spans="1:8">
      <c r="A26" s="34" t="s">
        <v>1</v>
      </c>
      <c r="B26" s="35" t="s">
        <v>2</v>
      </c>
      <c r="C26" s="36"/>
      <c r="D26" s="37"/>
      <c r="E26" s="37"/>
      <c r="F26" s="38" t="s">
        <v>3</v>
      </c>
      <c r="G26" s="76" t="s">
        <v>4</v>
      </c>
      <c r="H26" s="38" t="s">
        <v>5</v>
      </c>
    </row>
    <row r="27" spans="1:8">
      <c r="A27" s="39"/>
      <c r="B27" s="39"/>
      <c r="C27" s="40"/>
      <c r="D27" s="40"/>
      <c r="E27" s="40"/>
      <c r="F27" s="39"/>
      <c r="G27" s="77"/>
      <c r="H27" s="41"/>
    </row>
    <row r="28" spans="1:8">
      <c r="A28" s="14"/>
      <c r="B28" s="2"/>
      <c r="C28" s="2"/>
      <c r="D28" s="2"/>
      <c r="E28" s="2"/>
      <c r="F28" s="17" t="s">
        <v>6</v>
      </c>
      <c r="G28" s="19" t="s">
        <v>6</v>
      </c>
      <c r="H28" s="19" t="str">
        <f>IF(F28=" "," ",F28*G28)</f>
        <v xml:space="preserve"> </v>
      </c>
    </row>
    <row r="29" spans="1:8">
      <c r="A29" s="15"/>
      <c r="B29" s="31"/>
      <c r="C29" s="7"/>
      <c r="D29" s="2"/>
      <c r="E29" s="2"/>
      <c r="F29" s="17"/>
      <c r="G29" s="19"/>
      <c r="H29" s="19"/>
    </row>
    <row r="30" spans="1:8">
      <c r="A30" s="15"/>
      <c r="B30" s="59" t="s">
        <v>47</v>
      </c>
      <c r="C30" s="7"/>
      <c r="D30" s="2"/>
      <c r="E30" s="2"/>
      <c r="F30" s="17"/>
      <c r="G30" s="19"/>
      <c r="H30" s="19" t="str">
        <f t="shared" ref="H30:H31" si="0">IF(F30&gt;0,F30*G30," ")</f>
        <v xml:space="preserve"> </v>
      </c>
    </row>
    <row r="31" spans="1:8">
      <c r="A31" s="15"/>
      <c r="B31" s="59"/>
      <c r="C31" s="7"/>
      <c r="D31" s="2"/>
      <c r="E31" s="2"/>
      <c r="F31" s="17"/>
      <c r="G31" s="19"/>
      <c r="H31" s="19" t="str">
        <f t="shared" si="0"/>
        <v xml:space="preserve"> </v>
      </c>
    </row>
    <row r="32" spans="1:8">
      <c r="A32" s="15"/>
      <c r="B32" s="56" t="s">
        <v>18</v>
      </c>
      <c r="C32" s="7"/>
      <c r="D32" s="2"/>
      <c r="E32" s="2"/>
      <c r="F32" s="17">
        <v>1</v>
      </c>
      <c r="G32" s="19">
        <v>667</v>
      </c>
      <c r="H32" s="19">
        <f>IF(F32&gt;0,F32*G32," ")</f>
        <v>667</v>
      </c>
    </row>
    <row r="33" spans="1:8">
      <c r="A33" s="15"/>
      <c r="B33" s="56"/>
      <c r="C33" s="7"/>
      <c r="D33" s="2"/>
      <c r="E33" s="2"/>
      <c r="F33" s="17"/>
      <c r="G33" s="19"/>
      <c r="H33" s="19"/>
    </row>
    <row r="34" spans="1:8">
      <c r="A34" s="15"/>
      <c r="B34" s="56" t="s">
        <v>43</v>
      </c>
      <c r="C34" s="7"/>
      <c r="D34" s="2"/>
      <c r="E34" s="2"/>
      <c r="F34" s="17">
        <v>1</v>
      </c>
      <c r="G34" s="19">
        <v>250</v>
      </c>
      <c r="H34" s="19">
        <f>IF(F34&gt;0,F34*G34," ")</f>
        <v>250</v>
      </c>
    </row>
    <row r="35" spans="1:8">
      <c r="A35" s="15"/>
      <c r="B35" s="51"/>
      <c r="C35" s="7"/>
      <c r="D35" s="7"/>
      <c r="E35" s="2"/>
      <c r="F35" s="17"/>
      <c r="G35" s="19"/>
      <c r="H35" s="19"/>
    </row>
    <row r="36" spans="1:8">
      <c r="A36" s="15"/>
      <c r="B36" s="56" t="s">
        <v>44</v>
      </c>
      <c r="C36" s="7"/>
      <c r="D36" s="2"/>
      <c r="E36" s="2"/>
      <c r="F36" s="17">
        <v>5</v>
      </c>
      <c r="G36" s="19">
        <v>10</v>
      </c>
      <c r="H36" s="19">
        <f>IF(F36&gt;0,F36*G36," ")</f>
        <v>50</v>
      </c>
    </row>
    <row r="37" spans="1:8">
      <c r="A37" s="15"/>
      <c r="B37" s="51"/>
      <c r="C37" s="7"/>
      <c r="D37" s="7"/>
      <c r="E37" s="2"/>
      <c r="F37" s="17"/>
      <c r="G37" s="19"/>
      <c r="H37" s="19"/>
    </row>
    <row r="38" spans="1:8">
      <c r="A38" s="15"/>
      <c r="B38" s="56" t="s">
        <v>45</v>
      </c>
      <c r="C38" s="7"/>
      <c r="D38" s="2"/>
      <c r="E38" s="2"/>
      <c r="F38" s="17">
        <v>1</v>
      </c>
      <c r="G38" s="19">
        <v>900</v>
      </c>
      <c r="H38" s="19">
        <f>IF(F38&gt;0,F38*G38," ")</f>
        <v>900</v>
      </c>
    </row>
    <row r="39" spans="1:8">
      <c r="A39" s="15"/>
      <c r="B39" s="7"/>
      <c r="C39" s="51"/>
      <c r="D39" s="7"/>
      <c r="E39" s="2"/>
      <c r="F39" s="18"/>
      <c r="G39" s="19"/>
      <c r="H39" s="19"/>
    </row>
    <row r="40" spans="1:8">
      <c r="A40" s="15"/>
      <c r="B40" s="56" t="s">
        <v>46</v>
      </c>
      <c r="C40" s="7"/>
      <c r="D40" s="2"/>
      <c r="E40" s="2"/>
      <c r="F40" s="17">
        <v>2</v>
      </c>
      <c r="G40" s="19">
        <v>500</v>
      </c>
      <c r="H40" s="19">
        <f>IF(F40&gt;0,F40*G40," ")</f>
        <v>1000</v>
      </c>
    </row>
    <row r="41" spans="1:8">
      <c r="A41" s="15"/>
      <c r="B41" s="7"/>
      <c r="C41" s="7"/>
      <c r="D41" s="7"/>
      <c r="E41" s="2"/>
      <c r="F41" s="18"/>
      <c r="G41" s="19"/>
      <c r="H41" s="19"/>
    </row>
    <row r="42" spans="1:8">
      <c r="A42" s="15"/>
      <c r="B42" s="56"/>
      <c r="C42" s="7"/>
      <c r="D42" s="2"/>
      <c r="E42" s="2"/>
      <c r="F42" s="17"/>
      <c r="G42" s="19"/>
      <c r="H42" s="19"/>
    </row>
    <row r="43" spans="1:8">
      <c r="A43" s="15"/>
      <c r="B43" s="51"/>
      <c r="C43" s="2"/>
      <c r="D43" s="2"/>
      <c r="E43" s="2"/>
      <c r="F43" s="17"/>
      <c r="G43" s="19"/>
      <c r="H43" s="19"/>
    </row>
    <row r="44" spans="1:8">
      <c r="A44" s="15"/>
      <c r="B44" s="51"/>
      <c r="C44" s="2"/>
      <c r="D44" s="2"/>
      <c r="E44" s="2"/>
      <c r="F44" s="17"/>
      <c r="G44" s="19"/>
      <c r="H44" s="19"/>
    </row>
    <row r="45" spans="1:8">
      <c r="A45" s="15"/>
      <c r="B45" s="7"/>
      <c r="C45" s="2"/>
      <c r="D45" s="2"/>
      <c r="E45" s="2"/>
      <c r="F45" s="17"/>
      <c r="G45" s="19"/>
      <c r="H45" s="19"/>
    </row>
    <row r="46" spans="1:8">
      <c r="A46" s="16"/>
      <c r="B46" s="20"/>
      <c r="C46" s="21"/>
      <c r="D46" s="21"/>
      <c r="E46" s="21"/>
      <c r="F46" s="22" t="s">
        <v>6</v>
      </c>
      <c r="G46" s="23"/>
      <c r="H46" s="23" t="str">
        <f>IF(F46=" "," ",F46*G46)</f>
        <v xml:space="preserve"> </v>
      </c>
    </row>
    <row r="47" spans="1:8">
      <c r="A47" s="2"/>
      <c r="B47" s="2"/>
      <c r="C47" s="2"/>
      <c r="D47" s="2"/>
      <c r="E47" s="26"/>
      <c r="F47" s="27"/>
      <c r="G47" s="2"/>
      <c r="H47" s="28"/>
    </row>
    <row r="48" spans="1:8">
      <c r="A48" s="42" t="s">
        <v>7</v>
      </c>
      <c r="B48" s="43"/>
      <c r="C48" s="2"/>
      <c r="D48" s="2"/>
      <c r="E48" s="44" t="s">
        <v>13</v>
      </c>
      <c r="F48" s="2"/>
      <c r="G48" s="2"/>
      <c r="H48" s="29">
        <f>SUM(H28:H46)</f>
        <v>2867</v>
      </c>
    </row>
    <row r="49" spans="1:8">
      <c r="A49" s="2" t="s">
        <v>8</v>
      </c>
      <c r="B49" s="2"/>
      <c r="C49" s="2"/>
      <c r="D49" s="2"/>
      <c r="E49" s="45"/>
      <c r="F49" s="2"/>
      <c r="G49" s="2"/>
      <c r="H49" s="29"/>
    </row>
    <row r="50" spans="1:8">
      <c r="A50" s="2"/>
      <c r="B50" s="3"/>
      <c r="C50" s="3"/>
      <c r="D50" s="2"/>
      <c r="E50" s="44"/>
      <c r="F50" s="2"/>
      <c r="G50" s="2"/>
      <c r="H50" s="29"/>
    </row>
    <row r="51" spans="1:8">
      <c r="A51" s="78" t="s">
        <v>16</v>
      </c>
      <c r="B51" s="78"/>
      <c r="C51" s="8"/>
      <c r="D51" s="2"/>
      <c r="E51" s="45"/>
      <c r="F51" s="2"/>
      <c r="G51" s="2"/>
      <c r="H51" s="30"/>
    </row>
    <row r="52" spans="1:8" ht="18.75">
      <c r="A52" s="60"/>
      <c r="B52" s="61"/>
      <c r="C52" s="53"/>
      <c r="D52" s="54"/>
      <c r="E52" s="46" t="s">
        <v>14</v>
      </c>
      <c r="F52" s="47"/>
      <c r="G52" s="48" t="s">
        <v>12</v>
      </c>
      <c r="H52" s="52">
        <f>SUM(H48,H50)</f>
        <v>2867</v>
      </c>
    </row>
    <row r="53" spans="1:8">
      <c r="A53" s="2"/>
      <c r="B53" s="2"/>
      <c r="C53" s="2"/>
      <c r="D53" s="2"/>
      <c r="E53" s="24"/>
      <c r="F53" s="21"/>
      <c r="G53" s="21"/>
      <c r="H53" s="25"/>
    </row>
    <row r="55" spans="1:8">
      <c r="A55" s="79" t="s">
        <v>15</v>
      </c>
      <c r="B55" s="79"/>
      <c r="C55" s="79"/>
      <c r="D55" s="79"/>
      <c r="E55" s="79"/>
      <c r="F55" s="79"/>
      <c r="G55" s="79"/>
      <c r="H55" s="79"/>
    </row>
    <row r="56" spans="1:8">
      <c r="A56" s="49" t="s">
        <v>9</v>
      </c>
      <c r="B56" s="51"/>
      <c r="C56" s="51"/>
      <c r="D56" s="51"/>
      <c r="E56" s="51"/>
      <c r="F56" s="51"/>
      <c r="G56" s="51"/>
      <c r="H56" s="51"/>
    </row>
    <row r="57" spans="1:8">
      <c r="A57" s="50" t="s">
        <v>10</v>
      </c>
      <c r="B57" s="51"/>
      <c r="C57" s="51"/>
      <c r="D57" s="51"/>
      <c r="E57" s="51"/>
      <c r="F57" s="51"/>
      <c r="G57" s="51"/>
      <c r="H57" s="51"/>
    </row>
    <row r="58" spans="1:8">
      <c r="A58" s="50" t="s">
        <v>11</v>
      </c>
      <c r="B58" s="51"/>
      <c r="C58" s="51"/>
      <c r="D58" s="51"/>
      <c r="E58" s="51"/>
      <c r="F58" s="51"/>
      <c r="G58" s="51"/>
      <c r="H58" s="51"/>
    </row>
  </sheetData>
  <mergeCells count="10">
    <mergeCell ref="A7:H7"/>
    <mergeCell ref="G26:G27"/>
    <mergeCell ref="A51:B51"/>
    <mergeCell ref="A55:H55"/>
    <mergeCell ref="A1:H1"/>
    <mergeCell ref="A2:H2"/>
    <mergeCell ref="A3:H3"/>
    <mergeCell ref="A4:H4"/>
    <mergeCell ref="A5:H5"/>
    <mergeCell ref="A6:H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201805001test</vt:lpstr>
      <vt:lpstr>CA</vt:lpstr>
      <vt:lpstr>Doc</vt:lpstr>
      <vt:lpstr>Modele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Infogere Classeur Factures 2001</dc:title>
  <dc:creator>RG</dc:creator>
  <cp:keywords>Infogere Factures 2001</cp:keywords>
  <cp:lastModifiedBy>René GENEVIEVE</cp:lastModifiedBy>
  <cp:lastPrinted>2018-04-26T07:54:55Z</cp:lastPrinted>
  <dcterms:created xsi:type="dcterms:W3CDTF">1998-01-27T08:21:53Z</dcterms:created>
  <dcterms:modified xsi:type="dcterms:W3CDTF">2019-04-04T07:45:42Z</dcterms:modified>
</cp:coreProperties>
</file>